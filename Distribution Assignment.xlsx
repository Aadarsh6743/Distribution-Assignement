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rs\Desktop\"/>
    </mc:Choice>
  </mc:AlternateContent>
  <xr:revisionPtr revIDLastSave="0" documentId="8_{2B8C32E8-FCD6-4094-8EC0-F872FA3A1B04}" xr6:coauthVersionLast="47" xr6:coauthVersionMax="47" xr10:uidLastSave="{00000000-0000-0000-0000-000000000000}"/>
  <bookViews>
    <workbookView xWindow="-108" yWindow="-108" windowWidth="23256" windowHeight="13176" xr2:uid="{F29FD246-5657-4BC5-95D1-DCA89AB70ACC}"/>
  </bookViews>
  <sheets>
    <sheet name="Sheet1" sheetId="1" r:id="rId1"/>
  </sheets>
  <definedNames>
    <definedName name="_xlchart.v1.0" hidden="1">Sheet1!$B$40:$B$140</definedName>
    <definedName name="_xlchart.v1.1" hidden="1">Sheet1!$B$40:$B$140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3" i="1" l="1"/>
  <c r="B152" i="1"/>
  <c r="B14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40" i="1"/>
  <c r="B32" i="1"/>
  <c r="B21" i="1"/>
  <c r="B181" i="1" a="1"/>
  <c r="B18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<sst xmlns="http://schemas.openxmlformats.org/spreadsheetml/2006/main" count="46" uniqueCount="46">
  <si>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>Simulate 30 rolls with =RANDBETWEEN(1,6). What is the probability of rolling a 3 exactly 5 times? (Hint: Use BINOM.DIST)</t>
  </si>
  <si>
    <t>Step-by-Step Solution</t>
  </si>
  <si>
    <t>1. Understand the scenario:</t>
  </si>
  <si>
    <t>Rolling a fair die → probability of any face = 16.</t>
  </si>
  <si>
    <t>Number of trials (rolls) = n=30.</t>
  </si>
  <si>
    <t>Probability of success = p=16.</t>
  </si>
  <si>
    <t>We want exactly k=5 successes.</t>
  </si>
  <si>
    <t xml:space="preserve">Question 1. </t>
  </si>
  <si>
    <t>Ans-</t>
  </si>
  <si>
    <t>Success = rolling a 3.</t>
  </si>
  <si>
    <t>1. Apply the Binomial Distribution formula:</t>
  </si>
  <si>
    <t>P(X=k)=(n/k)⋅pk⋅(1−p)^n−k</t>
  </si>
  <si>
    <t>Substituting values:</t>
  </si>
  <si>
    <t>p(X=5)= (30/5)*(1/6)^5*(5/6)^25</t>
  </si>
  <si>
    <t>For Excel Formula:</t>
  </si>
  <si>
    <t>(=BINOM.DIST(5,30,1/6,FALSE))</t>
  </si>
  <si>
    <r>
      <t xml:space="preserve">Generate 100 values in Excel using the continuous uniform distribution </t>
    </r>
    <r>
      <rPr>
        <sz val="10"/>
        <color theme="1"/>
        <rFont val="Arial Unicode MS"/>
      </rPr>
      <t>RAND()</t>
    </r>
    <r>
      <rPr>
        <b/>
        <sz val="11"/>
        <color theme="1"/>
        <rFont val="Calibri"/>
        <family val="2"/>
      </rPr>
      <t xml:space="preserve"> and plot a histogram. Describe the shape of the distribution.</t>
    </r>
  </si>
  <si>
    <t xml:space="preserve">  </t>
  </si>
  <si>
    <t>Generate random values:
In Excel, type in any cell:</t>
  </si>
  <si>
    <r>
      <t xml:space="preserve">This generates a random number between </t>
    </r>
    <r>
      <rPr>
        <b/>
        <sz val="11"/>
        <color theme="1"/>
        <rFont val="Calibri"/>
        <family val="2"/>
      </rPr>
      <t>0 and 1</t>
    </r>
    <r>
      <rPr>
        <sz val="11"/>
        <color theme="1"/>
        <rFont val="Calibri"/>
        <family val="2"/>
      </rPr>
      <t xml:space="preserve"> (continuous uniform distribution).</t>
    </r>
  </si>
  <si>
    <r>
      <t xml:space="preserve">Drag down until you have </t>
    </r>
    <r>
      <rPr>
        <b/>
        <sz val="11"/>
        <color theme="1"/>
        <rFont val="Calibri"/>
        <family val="2"/>
      </rPr>
      <t>100 values</t>
    </r>
    <r>
      <rPr>
        <sz val="11"/>
        <color theme="1"/>
        <rFont val="Calibri"/>
        <family val="2"/>
      </rPr>
      <t>.</t>
    </r>
  </si>
  <si>
    <t>STEP 2. Create the histogram:
Go to Insert → Charts → Histogram.
Select your 100 values as the data range.</t>
  </si>
  <si>
    <t>Step3. Understand the distribution:
Since RAND() generates numbers uniformly between 0 and 1:
Every interval (say 0–0.1, 0.1–0.2, etc.) has equal probability.
The histogram should look flat/rectangular — bars of roughly equal height.
With only 100 samples, there may be small fluctuations, but overall it will approximate a uniform distribution.</t>
  </si>
  <si>
    <t>Step4. Interpretation:
The shape is approximately flat across the range [0,1].
Unlike a normal distribution (bell curve), the uniform distribution has no peak — all outcomes are equally likely</t>
  </si>
  <si>
    <t xml:space="preserve">Question 2 </t>
  </si>
  <si>
    <t>question 3.</t>
  </si>
  <si>
    <t>A dataset has a mean of 50 and a standard deviation of 5. What percentage of values lie between 45 and 55 if the data follows a normal distribution?</t>
  </si>
  <si>
    <t xml:space="preserve">Ans- </t>
  </si>
  <si>
    <t>Direct normal distribution formula:</t>
  </si>
  <si>
    <t>(=NORM.DIST(55,50,5,TRUE) - NORM.DIST(45,50,5,TRUE))</t>
  </si>
  <si>
    <t>Alternative via z-scores (±1σ):</t>
  </si>
  <si>
    <t>(=NORM.S.DIST(1,TRUE) - NORM.S.DIST(-1,TRUE))</t>
  </si>
  <si>
    <t>Question7.</t>
  </si>
  <si>
    <t>Use Excel to compute the probability of getting at least 8 successes in 15 trials with success probability 0.5</t>
  </si>
  <si>
    <t>Step-by-Step in Excel</t>
  </si>
  <si>
    <t>1. Understand the problem:</t>
  </si>
  <si>
    <t>Trials (n) = 15</t>
  </si>
  <si>
    <t>Success probability (p) = 0.5</t>
  </si>
  <si>
    <t>We want P(X≥8).</t>
  </si>
  <si>
    <r>
      <t xml:space="preserve">This is a </t>
    </r>
    <r>
      <rPr>
        <b/>
        <sz val="11"/>
        <color theme="1"/>
        <rFont val="Calibri"/>
        <family val="2"/>
      </rPr>
      <t>binomial distribution</t>
    </r>
    <r>
      <rPr>
        <sz val="11"/>
        <color theme="1"/>
        <rFont val="Calibri"/>
        <family val="2"/>
      </rPr>
      <t xml:space="preserve"> problem.</t>
    </r>
  </si>
  <si>
    <t>2.Excel Formula (Direct):</t>
  </si>
  <si>
    <t>(=1 - BINOM.DIST(7,15,0.5,TRUE))</t>
  </si>
  <si>
    <t>Subtract from 1 - probability of 8 or more successes.</t>
  </si>
  <si>
    <r>
      <t>BINOM.DIST(7,15,0.5,TRUE)</t>
    </r>
    <r>
      <rPr>
        <sz val="11"/>
        <color theme="1"/>
        <rFont val="Calibri"/>
        <family val="2"/>
      </rPr>
      <t xml:space="preserve"> - cumulative probability up to 7 successes.</t>
    </r>
  </si>
  <si>
    <t>Alternative (SUM of exact probabilities):</t>
  </si>
  <si>
    <t>(=SUM(BINOM.DIST(ROW(INDIRECT("8:15")),15,0.5,FALSE)))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</si>
</sst>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.5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A0A8A74-B62D-49F4-A10E-8BED307CBFCA}">
          <cx:dataId val="0"/>
          <cx:layoutPr>
            <cx:binning intervalClosed="r"/>
          </cx:layoutPr>
          <cx:axisId val="1"/>
        </cx:series>
        <cx:series layoutId="paretoLine" ownerIdx="0" uniqueId="{3B0AA1DB-0686-4806-8D9C-1B5719B7BCB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4236720</xdr:colOff>
      <xdr:row>39</xdr:row>
      <xdr:rowOff>76200</xdr:rowOff>
    </xdr:from>
    <xdr:to>
      <xdr:col>1</xdr:col>
      <xdr:colOff>8808720</xdr:colOff>
      <xdr:row>54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110625-A32F-9D70-0614-21F952404C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3960" y="1059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E23B-CAAA-4879-8E92-75034B48CF49}">
  <dimension ref="A1:O181"/>
  <sheetViews>
    <sheetView tabSelected="1" topLeftCell="B172" workbookViewId="0">
      <selection activeCell="B181" sqref="B181"/>
    </sheetView>
  </sheetViews>
  <sheetFormatPr defaultRowHeight="14.4"/>
  <cols>
    <col min="1" max="1" width="11.33203125" customWidth="1"/>
    <col min="2" max="2" width="169.21875" customWidth="1"/>
  </cols>
  <sheetData>
    <row r="1" spans="1:15">
      <c r="B1" s="10"/>
    </row>
    <row r="2" spans="1:15" ht="14.4" customHeight="1">
      <c r="A2" s="3"/>
      <c r="B2" s="4" t="s">
        <v>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customHeight="1">
      <c r="A3" s="4"/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8">
      <c r="A5" s="4" t="s">
        <v>8</v>
      </c>
      <c r="B5" s="2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4.4" customHeight="1">
      <c r="A7" s="4"/>
      <c r="B7" s="6" t="s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B8" s="5" t="s">
        <v>3</v>
      </c>
    </row>
    <row r="9" spans="1:15">
      <c r="B9" s="5" t="s">
        <v>4</v>
      </c>
    </row>
    <row r="10" spans="1:15">
      <c r="B10" s="7" t="s">
        <v>9</v>
      </c>
    </row>
    <row r="11" spans="1:15">
      <c r="B11" s="7" t="s">
        <v>5</v>
      </c>
    </row>
    <row r="12" spans="1:15">
      <c r="B12" t="s">
        <v>6</v>
      </c>
    </row>
    <row r="13" spans="1:15">
      <c r="B13" s="6" t="s">
        <v>10</v>
      </c>
    </row>
    <row r="14" spans="1:15">
      <c r="B14" s="1" t="s">
        <v>11</v>
      </c>
    </row>
    <row r="16" spans="1:15">
      <c r="B16" t="s">
        <v>12</v>
      </c>
    </row>
    <row r="17" spans="1:2">
      <c r="B17" t="s">
        <v>13</v>
      </c>
    </row>
    <row r="19" spans="1:2">
      <c r="B19" t="s">
        <v>14</v>
      </c>
    </row>
    <row r="20" spans="1:2">
      <c r="B20" t="s">
        <v>15</v>
      </c>
    </row>
    <row r="21" spans="1:2">
      <c r="B21" s="8">
        <f>_xlfn.BINOM.DIST(5,30,1/6,FALSE)</f>
        <v>0.19210813105163416</v>
      </c>
    </row>
    <row r="25" spans="1:2">
      <c r="A25" t="s">
        <v>24</v>
      </c>
      <c r="B25" s="9" t="s">
        <v>16</v>
      </c>
    </row>
    <row r="26" spans="1:2">
      <c r="B26" t="s">
        <v>17</v>
      </c>
    </row>
    <row r="27" spans="1:2" ht="43.2">
      <c r="B27" s="3" t="s">
        <v>18</v>
      </c>
    </row>
    <row r="28" spans="1:2">
      <c r="B28" s="1" t="s">
        <v>19</v>
      </c>
    </row>
    <row r="29" spans="1:2">
      <c r="B29" s="1"/>
    </row>
    <row r="30" spans="1:2">
      <c r="B30" s="1" t="s">
        <v>20</v>
      </c>
    </row>
    <row r="32" spans="1:2">
      <c r="B32" s="8">
        <f ca="1">RAND()</f>
        <v>8.5609731929149668E-2</v>
      </c>
    </row>
    <row r="34" spans="2:2" ht="72">
      <c r="B34" s="3" t="s">
        <v>21</v>
      </c>
    </row>
    <row r="36" spans="2:2" ht="129.6">
      <c r="B36" s="3" t="s">
        <v>22</v>
      </c>
    </row>
    <row r="38" spans="2:2" ht="72">
      <c r="B38" s="3" t="s">
        <v>23</v>
      </c>
    </row>
    <row r="40" spans="2:2">
      <c r="B40" s="8">
        <f ca="1">RAND()</f>
        <v>0.2056833698277869</v>
      </c>
    </row>
    <row r="41" spans="2:2">
      <c r="B41" s="8">
        <f t="shared" ref="B41:B104" ca="1" si="0">RAND()</f>
        <v>0.76440894914859447</v>
      </c>
    </row>
    <row r="42" spans="2:2">
      <c r="B42" s="8">
        <f t="shared" ca="1" si="0"/>
        <v>0.85950492567343406</v>
      </c>
    </row>
    <row r="43" spans="2:2">
      <c r="B43" s="8">
        <f t="shared" ca="1" si="0"/>
        <v>7.6322721252790271E-2</v>
      </c>
    </row>
    <row r="44" spans="2:2">
      <c r="B44" s="8">
        <f t="shared" ca="1" si="0"/>
        <v>0.25518367478806836</v>
      </c>
    </row>
    <row r="45" spans="2:2">
      <c r="B45" s="8">
        <f t="shared" ca="1" si="0"/>
        <v>0.63582296414414685</v>
      </c>
    </row>
    <row r="46" spans="2:2">
      <c r="B46" s="8">
        <f t="shared" ca="1" si="0"/>
        <v>0.96407032228701339</v>
      </c>
    </row>
    <row r="47" spans="2:2">
      <c r="B47" s="8">
        <f t="shared" ca="1" si="0"/>
        <v>1.6322885921734587E-2</v>
      </c>
    </row>
    <row r="48" spans="2:2">
      <c r="B48" s="8">
        <f t="shared" ca="1" si="0"/>
        <v>0.22823427392891193</v>
      </c>
    </row>
    <row r="49" spans="2:2">
      <c r="B49" s="8">
        <f t="shared" ca="1" si="0"/>
        <v>0.8886136129025799</v>
      </c>
    </row>
    <row r="50" spans="2:2">
      <c r="B50" s="8">
        <f t="shared" ca="1" si="0"/>
        <v>0.990270562394158</v>
      </c>
    </row>
    <row r="51" spans="2:2">
      <c r="B51" s="8">
        <f t="shared" ca="1" si="0"/>
        <v>0.29580387430741362</v>
      </c>
    </row>
    <row r="52" spans="2:2">
      <c r="B52" s="8">
        <f t="shared" ca="1" si="0"/>
        <v>0.7492512428333854</v>
      </c>
    </row>
    <row r="53" spans="2:2">
      <c r="B53" s="8">
        <f t="shared" ca="1" si="0"/>
        <v>0.41389323077550866</v>
      </c>
    </row>
    <row r="54" spans="2:2">
      <c r="B54" s="8">
        <f t="shared" ca="1" si="0"/>
        <v>0.55243024162694321</v>
      </c>
    </row>
    <row r="55" spans="2:2">
      <c r="B55" s="8">
        <f t="shared" ca="1" si="0"/>
        <v>0.92883856149368682</v>
      </c>
    </row>
    <row r="56" spans="2:2">
      <c r="B56" s="8">
        <f t="shared" ca="1" si="0"/>
        <v>0.66648398559348732</v>
      </c>
    </row>
    <row r="57" spans="2:2">
      <c r="B57" s="8">
        <f t="shared" ca="1" si="0"/>
        <v>0.69449859811641801</v>
      </c>
    </row>
    <row r="58" spans="2:2">
      <c r="B58" s="8">
        <f t="shared" ca="1" si="0"/>
        <v>0.60921526556893657</v>
      </c>
    </row>
    <row r="59" spans="2:2">
      <c r="B59" s="8">
        <f t="shared" ca="1" si="0"/>
        <v>0.74075894287217325</v>
      </c>
    </row>
    <row r="60" spans="2:2">
      <c r="B60" s="8">
        <f t="shared" ca="1" si="0"/>
        <v>0.24945198579118844</v>
      </c>
    </row>
    <row r="61" spans="2:2">
      <c r="B61" s="8">
        <f t="shared" ca="1" si="0"/>
        <v>0.2167453809337474</v>
      </c>
    </row>
    <row r="62" spans="2:2">
      <c r="B62" s="8">
        <f t="shared" ca="1" si="0"/>
        <v>0.46615614605792532</v>
      </c>
    </row>
    <row r="63" spans="2:2">
      <c r="B63" s="8">
        <f t="shared" ca="1" si="0"/>
        <v>0.3190912365504357</v>
      </c>
    </row>
    <row r="64" spans="2:2">
      <c r="B64" s="8">
        <f t="shared" ca="1" si="0"/>
        <v>0.9334486587774653</v>
      </c>
    </row>
    <row r="65" spans="2:2">
      <c r="B65" s="8">
        <f t="shared" ca="1" si="0"/>
        <v>0.69754409752881075</v>
      </c>
    </row>
    <row r="66" spans="2:2">
      <c r="B66" s="8">
        <f t="shared" ca="1" si="0"/>
        <v>0.92829196760162969</v>
      </c>
    </row>
    <row r="67" spans="2:2">
      <c r="B67" s="8">
        <f t="shared" ca="1" si="0"/>
        <v>0.82394427780238733</v>
      </c>
    </row>
    <row r="68" spans="2:2">
      <c r="B68" s="8">
        <f t="shared" ca="1" si="0"/>
        <v>0.35944511489264519</v>
      </c>
    </row>
    <row r="69" spans="2:2">
      <c r="B69" s="8">
        <f t="shared" ca="1" si="0"/>
        <v>0.30079427175711893</v>
      </c>
    </row>
    <row r="70" spans="2:2">
      <c r="B70" s="8">
        <f t="shared" ca="1" si="0"/>
        <v>0.30115137814597814</v>
      </c>
    </row>
    <row r="71" spans="2:2">
      <c r="B71" s="8">
        <f t="shared" ca="1" si="0"/>
        <v>2.6740134389047876E-2</v>
      </c>
    </row>
    <row r="72" spans="2:2">
      <c r="B72" s="8">
        <f t="shared" ca="1" si="0"/>
        <v>0.42235719138638195</v>
      </c>
    </row>
    <row r="73" spans="2:2">
      <c r="B73" s="8">
        <f t="shared" ca="1" si="0"/>
        <v>0.72355583509202548</v>
      </c>
    </row>
    <row r="74" spans="2:2">
      <c r="B74" s="8">
        <f t="shared" ca="1" si="0"/>
        <v>9.5080026491256464E-2</v>
      </c>
    </row>
    <row r="75" spans="2:2">
      <c r="B75" s="8">
        <f t="shared" ca="1" si="0"/>
        <v>0.50501469940309551</v>
      </c>
    </row>
    <row r="76" spans="2:2">
      <c r="B76" s="8">
        <f t="shared" ca="1" si="0"/>
        <v>0.29372610349435846</v>
      </c>
    </row>
    <row r="77" spans="2:2">
      <c r="B77" s="8">
        <f t="shared" ca="1" si="0"/>
        <v>0.79646732973872525</v>
      </c>
    </row>
    <row r="78" spans="2:2">
      <c r="B78" s="8">
        <f t="shared" ca="1" si="0"/>
        <v>0.71537392105542708</v>
      </c>
    </row>
    <row r="79" spans="2:2">
      <c r="B79" s="8">
        <f t="shared" ca="1" si="0"/>
        <v>0.26730102328798777</v>
      </c>
    </row>
    <row r="80" spans="2:2">
      <c r="B80" s="8">
        <f t="shared" ca="1" si="0"/>
        <v>0.84806162522560646</v>
      </c>
    </row>
    <row r="81" spans="2:2">
      <c r="B81" s="8">
        <f t="shared" ca="1" si="0"/>
        <v>0.5734890731883503</v>
      </c>
    </row>
    <row r="82" spans="2:2">
      <c r="B82" s="8">
        <f t="shared" ca="1" si="0"/>
        <v>0.72327683247628816</v>
      </c>
    </row>
    <row r="83" spans="2:2">
      <c r="B83" s="8">
        <f t="shared" ca="1" si="0"/>
        <v>0.1199502382066796</v>
      </c>
    </row>
    <row r="84" spans="2:2">
      <c r="B84" s="8">
        <f t="shared" ca="1" si="0"/>
        <v>1.6473872886282104E-2</v>
      </c>
    </row>
    <row r="85" spans="2:2">
      <c r="B85" s="8">
        <f t="shared" ca="1" si="0"/>
        <v>0.45372814796622463</v>
      </c>
    </row>
    <row r="86" spans="2:2">
      <c r="B86" s="8">
        <f t="shared" ca="1" si="0"/>
        <v>0.55950844116491349</v>
      </c>
    </row>
    <row r="87" spans="2:2">
      <c r="B87" s="8">
        <f t="shared" ca="1" si="0"/>
        <v>0.57198854781789155</v>
      </c>
    </row>
    <row r="88" spans="2:2">
      <c r="B88" s="8">
        <f t="shared" ca="1" si="0"/>
        <v>0.64176935083414088</v>
      </c>
    </row>
    <row r="89" spans="2:2">
      <c r="B89" s="8">
        <f t="shared" ca="1" si="0"/>
        <v>0.5682129922483159</v>
      </c>
    </row>
    <row r="90" spans="2:2">
      <c r="B90" s="8">
        <f t="shared" ca="1" si="0"/>
        <v>0.20847331425591631</v>
      </c>
    </row>
    <row r="91" spans="2:2">
      <c r="B91" s="8">
        <f t="shared" ca="1" si="0"/>
        <v>0.66261721704095178</v>
      </c>
    </row>
    <row r="92" spans="2:2">
      <c r="B92" s="8">
        <f t="shared" ca="1" si="0"/>
        <v>0.71265860767623712</v>
      </c>
    </row>
    <row r="93" spans="2:2">
      <c r="B93" s="8">
        <f t="shared" ca="1" si="0"/>
        <v>4.5362819859803172E-2</v>
      </c>
    </row>
    <row r="94" spans="2:2">
      <c r="B94" s="8">
        <f t="shared" ca="1" si="0"/>
        <v>0.58149534299827088</v>
      </c>
    </row>
    <row r="95" spans="2:2">
      <c r="B95" s="8">
        <f t="shared" ca="1" si="0"/>
        <v>1.97381502008106E-2</v>
      </c>
    </row>
    <row r="96" spans="2:2">
      <c r="B96" s="8">
        <f t="shared" ca="1" si="0"/>
        <v>0.51206399487363119</v>
      </c>
    </row>
    <row r="97" spans="2:2">
      <c r="B97" s="8">
        <f t="shared" ca="1" si="0"/>
        <v>0.18347724135094423</v>
      </c>
    </row>
    <row r="98" spans="2:2">
      <c r="B98" s="8">
        <f t="shared" ca="1" si="0"/>
        <v>0.91715032044552192</v>
      </c>
    </row>
    <row r="99" spans="2:2">
      <c r="B99" s="8">
        <f t="shared" ca="1" si="0"/>
        <v>1.312770168890065E-2</v>
      </c>
    </row>
    <row r="100" spans="2:2">
      <c r="B100" s="8">
        <f t="shared" ca="1" si="0"/>
        <v>0.99332201587164037</v>
      </c>
    </row>
    <row r="101" spans="2:2">
      <c r="B101" s="8">
        <f t="shared" ca="1" si="0"/>
        <v>0.11669645732178002</v>
      </c>
    </row>
    <row r="102" spans="2:2">
      <c r="B102" s="8">
        <f t="shared" ca="1" si="0"/>
        <v>0.99688690477631314</v>
      </c>
    </row>
    <row r="103" spans="2:2">
      <c r="B103" s="8">
        <f t="shared" ca="1" si="0"/>
        <v>0.30254388221233597</v>
      </c>
    </row>
    <row r="104" spans="2:2">
      <c r="B104" s="8">
        <f t="shared" ca="1" si="0"/>
        <v>0.26024827356932989</v>
      </c>
    </row>
    <row r="105" spans="2:2">
      <c r="B105" s="8">
        <f t="shared" ref="B105:B140" ca="1" si="1">RAND()</f>
        <v>0.71345903284066181</v>
      </c>
    </row>
    <row r="106" spans="2:2">
      <c r="B106" s="8">
        <f t="shared" ca="1" si="1"/>
        <v>0.60387627059847315</v>
      </c>
    </row>
    <row r="107" spans="2:2">
      <c r="B107" s="8">
        <f t="shared" ca="1" si="1"/>
        <v>0.15672287323297895</v>
      </c>
    </row>
    <row r="108" spans="2:2">
      <c r="B108" s="8">
        <f t="shared" ca="1" si="1"/>
        <v>0.24265585676295287</v>
      </c>
    </row>
    <row r="109" spans="2:2">
      <c r="B109" s="8">
        <f t="shared" ca="1" si="1"/>
        <v>8.09980080565329E-2</v>
      </c>
    </row>
    <row r="110" spans="2:2">
      <c r="B110" s="8">
        <f t="shared" ca="1" si="1"/>
        <v>0.85826518775013227</v>
      </c>
    </row>
    <row r="111" spans="2:2">
      <c r="B111" s="8">
        <f t="shared" ca="1" si="1"/>
        <v>0.21644896962117632</v>
      </c>
    </row>
    <row r="112" spans="2:2">
      <c r="B112" s="8">
        <f t="shared" ca="1" si="1"/>
        <v>0.78883790439193757</v>
      </c>
    </row>
    <row r="113" spans="2:2">
      <c r="B113" s="8">
        <f t="shared" ca="1" si="1"/>
        <v>0.61792834960670517</v>
      </c>
    </row>
    <row r="114" spans="2:2">
      <c r="B114" s="8">
        <f t="shared" ca="1" si="1"/>
        <v>0.23485481265624542</v>
      </c>
    </row>
    <row r="115" spans="2:2">
      <c r="B115" s="8">
        <f t="shared" ca="1" si="1"/>
        <v>0.10758388620317405</v>
      </c>
    </row>
    <row r="116" spans="2:2">
      <c r="B116" s="8">
        <f t="shared" ca="1" si="1"/>
        <v>0.58459274022937924</v>
      </c>
    </row>
    <row r="117" spans="2:2">
      <c r="B117" s="8">
        <f t="shared" ca="1" si="1"/>
        <v>0.21197312454391026</v>
      </c>
    </row>
    <row r="118" spans="2:2">
      <c r="B118" s="8">
        <f t="shared" ca="1" si="1"/>
        <v>0.64123128924248429</v>
      </c>
    </row>
    <row r="119" spans="2:2">
      <c r="B119" s="8">
        <f t="shared" ca="1" si="1"/>
        <v>0.37978341437533092</v>
      </c>
    </row>
    <row r="120" spans="2:2">
      <c r="B120" s="8">
        <f t="shared" ca="1" si="1"/>
        <v>0.7464927419817986</v>
      </c>
    </row>
    <row r="121" spans="2:2">
      <c r="B121" s="8">
        <f t="shared" ca="1" si="1"/>
        <v>0.17241490426527051</v>
      </c>
    </row>
    <row r="122" spans="2:2">
      <c r="B122" s="8">
        <f t="shared" ca="1" si="1"/>
        <v>1.5496737362046376E-2</v>
      </c>
    </row>
    <row r="123" spans="2:2">
      <c r="B123" s="8">
        <f t="shared" ca="1" si="1"/>
        <v>0.64514597723118672</v>
      </c>
    </row>
    <row r="124" spans="2:2">
      <c r="B124" s="8">
        <f t="shared" ca="1" si="1"/>
        <v>6.8724105158764925E-2</v>
      </c>
    </row>
    <row r="125" spans="2:2">
      <c r="B125" s="8">
        <f t="shared" ca="1" si="1"/>
        <v>0.71508420079650681</v>
      </c>
    </row>
    <row r="126" spans="2:2">
      <c r="B126" s="8">
        <f t="shared" ca="1" si="1"/>
        <v>0.15288091979556684</v>
      </c>
    </row>
    <row r="127" spans="2:2">
      <c r="B127" s="8">
        <f t="shared" ca="1" si="1"/>
        <v>0.59043029969661009</v>
      </c>
    </row>
    <row r="128" spans="2:2">
      <c r="B128" s="8">
        <f t="shared" ca="1" si="1"/>
        <v>0.8579127786616938</v>
      </c>
    </row>
    <row r="129" spans="1:2">
      <c r="B129" s="8">
        <f t="shared" ca="1" si="1"/>
        <v>4.9219054564664244E-3</v>
      </c>
    </row>
    <row r="130" spans="1:2">
      <c r="B130" s="8">
        <f t="shared" ca="1" si="1"/>
        <v>0.12102912423755985</v>
      </c>
    </row>
    <row r="131" spans="1:2">
      <c r="B131" s="8">
        <f t="shared" ca="1" si="1"/>
        <v>0.56373512672561221</v>
      </c>
    </row>
    <row r="132" spans="1:2">
      <c r="B132" s="8">
        <f t="shared" ca="1" si="1"/>
        <v>0.87241852401699627</v>
      </c>
    </row>
    <row r="133" spans="1:2">
      <c r="B133" s="8">
        <f t="shared" ca="1" si="1"/>
        <v>0.57164066598953034</v>
      </c>
    </row>
    <row r="134" spans="1:2">
      <c r="B134" s="8">
        <f t="shared" ca="1" si="1"/>
        <v>0.31007111967295942</v>
      </c>
    </row>
    <row r="135" spans="1:2">
      <c r="B135" s="8">
        <f t="shared" ca="1" si="1"/>
        <v>0.45875565903805993</v>
      </c>
    </row>
    <row r="136" spans="1:2">
      <c r="B136" s="8">
        <f t="shared" ca="1" si="1"/>
        <v>0.93652933007664518</v>
      </c>
    </row>
    <row r="137" spans="1:2">
      <c r="B137" s="8">
        <f t="shared" ca="1" si="1"/>
        <v>0.94259260431727443</v>
      </c>
    </row>
    <row r="138" spans="1:2">
      <c r="B138" s="8">
        <f t="shared" ca="1" si="1"/>
        <v>0.9615601164339227</v>
      </c>
    </row>
    <row r="139" spans="1:2">
      <c r="B139" s="8">
        <f t="shared" ca="1" si="1"/>
        <v>5.3152197725997885E-2</v>
      </c>
    </row>
    <row r="140" spans="1:2">
      <c r="B140" s="8">
        <f t="shared" ca="1" si="1"/>
        <v>0.62509241079668432</v>
      </c>
    </row>
    <row r="143" spans="1:2">
      <c r="A143" t="s">
        <v>25</v>
      </c>
      <c r="B143" t="s">
        <v>26</v>
      </c>
    </row>
    <row r="145" spans="1:2">
      <c r="A145" t="s">
        <v>27</v>
      </c>
      <c r="B145" t="s">
        <v>28</v>
      </c>
    </row>
    <row r="146" spans="1:2">
      <c r="B146" t="s">
        <v>29</v>
      </c>
    </row>
    <row r="148" spans="1:2">
      <c r="B148" s="8">
        <f>_xlfn.NORM.DIST(55,50,5,TRUE) - _xlfn.NORM.DIST(45,50,5,TRUE)</f>
        <v>0.68268949213708607</v>
      </c>
    </row>
    <row r="150" spans="1:2">
      <c r="B150" t="s">
        <v>30</v>
      </c>
    </row>
    <row r="151" spans="1:2">
      <c r="B151" t="s">
        <v>31</v>
      </c>
    </row>
    <row r="152" spans="1:2">
      <c r="B152" s="8">
        <f>_xlfn.NORM.S.DIST(1,TRUE) - _xlfn.NORM.S.DIST(-1,TRUE)</f>
        <v>0.68268949213708607</v>
      </c>
    </row>
    <row r="155" spans="1:2">
      <c r="A155" t="s">
        <v>32</v>
      </c>
      <c r="B155" t="s">
        <v>33</v>
      </c>
    </row>
    <row r="157" spans="1:2" ht="18">
      <c r="B157" s="2" t="s">
        <v>34</v>
      </c>
    </row>
    <row r="158" spans="1:2">
      <c r="B158" s="5"/>
    </row>
    <row r="159" spans="1:2">
      <c r="B159" s="6" t="s">
        <v>35</v>
      </c>
    </row>
    <row r="160" spans="1:2">
      <c r="B160" s="5"/>
    </row>
    <row r="161" spans="2:2">
      <c r="B161" s="5"/>
    </row>
    <row r="162" spans="2:2">
      <c r="B162" s="7"/>
    </row>
    <row r="163" spans="2:2">
      <c r="B163" s="7" t="s">
        <v>36</v>
      </c>
    </row>
    <row r="164" spans="2:2">
      <c r="B164" s="7"/>
    </row>
    <row r="165" spans="2:2">
      <c r="B165" s="7" t="s">
        <v>37</v>
      </c>
    </row>
    <row r="166" spans="2:2">
      <c r="B166" s="7"/>
    </row>
    <row r="167" spans="2:2">
      <c r="B167" s="7" t="s">
        <v>38</v>
      </c>
    </row>
    <row r="168" spans="2:2">
      <c r="B168" s="5"/>
    </row>
    <row r="169" spans="2:2">
      <c r="B169" s="5" t="s">
        <v>39</v>
      </c>
    </row>
    <row r="171" spans="2:2">
      <c r="B171" t="s">
        <v>40</v>
      </c>
    </row>
    <row r="172" spans="2:2">
      <c r="B172" t="s">
        <v>41</v>
      </c>
    </row>
    <row r="173" spans="2:2">
      <c r="B173" s="8">
        <f>1 - _xlfn.BINOM.DIST(7,15,0.5,TRUE)</f>
        <v>0.5</v>
      </c>
    </row>
    <row r="175" spans="2:2">
      <c r="B175" s="11" t="s">
        <v>43</v>
      </c>
    </row>
    <row r="176" spans="2:2">
      <c r="B176" s="1"/>
    </row>
    <row r="177" spans="2:2">
      <c r="B177" s="1" t="s">
        <v>42</v>
      </c>
    </row>
    <row r="179" spans="2:2">
      <c r="B179" t="s">
        <v>44</v>
      </c>
    </row>
    <row r="180" spans="2:2">
      <c r="B180" t="s">
        <v>45</v>
      </c>
    </row>
    <row r="181" spans="2:2">
      <c r="B181" s="8" cm="1">
        <f t="array" aca="1" ref="B181" ca="1">SUM(_xlfn.BINOM.DIST(ROW(INDIRECT("8:15")),15,0.5,FALSE))</f>
        <v>0.50000000000000011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 Aadarsh</dc:creator>
  <cp:lastModifiedBy>Darshit Aadarsh</cp:lastModifiedBy>
  <dcterms:created xsi:type="dcterms:W3CDTF">2025-12-23T17:00:52Z</dcterms:created>
  <dcterms:modified xsi:type="dcterms:W3CDTF">2025-12-23T17:45:34Z</dcterms:modified>
</cp:coreProperties>
</file>